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72" windowWidth="20940" windowHeight="8580"/>
  </bookViews>
  <sheets>
    <sheet name="8 Bit Conversions" sheetId="1" r:id="rId1"/>
  </sheets>
  <functionGroups/>
  <calcPr calcId="125725"/>
</workbook>
</file>

<file path=xl/calcChain.xml><?xml version="1.0" encoding="utf-8"?>
<calcChain xmlns="http://schemas.openxmlformats.org/spreadsheetml/2006/main">
  <c r="K12" i="1"/>
  <c r="G18"/>
  <c r="G17"/>
  <c r="G16"/>
  <c r="G15"/>
  <c r="G14"/>
  <c r="G13"/>
  <c r="G12"/>
  <c r="G11"/>
  <c r="K4"/>
  <c r="J4"/>
  <c r="I4"/>
  <c r="H4"/>
  <c r="G4"/>
  <c r="F4"/>
  <c r="E4"/>
  <c r="D4"/>
  <c r="G8" l="1"/>
</calcChain>
</file>

<file path=xl/comments1.xml><?xml version="1.0" encoding="utf-8"?>
<comments xmlns="http://schemas.openxmlformats.org/spreadsheetml/2006/main">
  <authors>
    <author>Papabear</author>
  </authors>
  <commentList>
    <comment ref="E6" authorId="0">
      <text>
        <r>
          <rPr>
            <sz val="9"/>
            <color indexed="81"/>
            <rFont val="Tahoma"/>
            <family val="2"/>
          </rPr>
          <t>Most Significant Digit</t>
        </r>
      </text>
    </comment>
    <comment ref="F6" authorId="0">
      <text>
        <r>
          <rPr>
            <sz val="9"/>
            <color indexed="81"/>
            <rFont val="Tahoma"/>
            <family val="2"/>
          </rPr>
          <t>Least Significant Digit</t>
        </r>
      </text>
    </comment>
    <comment ref="I12" authorId="0">
      <text>
        <r>
          <rPr>
            <b/>
            <sz val="9"/>
            <color indexed="81"/>
            <rFont val="Tahoma"/>
            <family val="2"/>
          </rPr>
          <t>Insert a Decimal to convert to Hexadecimal</t>
        </r>
      </text>
    </comment>
  </commentList>
</comments>
</file>

<file path=xl/sharedStrings.xml><?xml version="1.0" encoding="utf-8"?>
<sst xmlns="http://schemas.openxmlformats.org/spreadsheetml/2006/main" count="22" uniqueCount="19">
  <si>
    <t>Hex</t>
  </si>
  <si>
    <t>A</t>
  </si>
  <si>
    <t>B</t>
  </si>
  <si>
    <t>C</t>
  </si>
  <si>
    <t>D</t>
  </si>
  <si>
    <t>E</t>
  </si>
  <si>
    <t>F</t>
  </si>
  <si>
    <t>BIT VALUES</t>
  </si>
  <si>
    <t>BIT</t>
  </si>
  <si>
    <t>DECIMAL</t>
  </si>
  <si>
    <t>Binary</t>
  </si>
  <si>
    <t>Decimal</t>
  </si>
  <si>
    <t>Decimal Equivalent --&gt;</t>
  </si>
  <si>
    <t>MSD</t>
  </si>
  <si>
    <t>LSD</t>
  </si>
  <si>
    <t>&lt;-- Input Hex Value Here</t>
  </si>
  <si>
    <t>Table for converting Hexadecimal to Binary</t>
  </si>
  <si>
    <t>HEX</t>
  </si>
  <si>
    <t>=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</si>
</sst>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4" xfId="0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3" fontId="0" fillId="2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8"/>
  <sheetViews>
    <sheetView showGridLines="0" tabSelected="1" zoomScale="170" zoomScaleNormal="170" workbookViewId="0">
      <selection activeCell="K12" sqref="K12"/>
    </sheetView>
  </sheetViews>
  <sheetFormatPr defaultRowHeight="14.4"/>
  <cols>
    <col min="2" max="2" width="11.6640625" customWidth="1"/>
    <col min="3" max="3" width="10.88671875" bestFit="1" customWidth="1"/>
    <col min="5" max="5" width="12" customWidth="1"/>
    <col min="12" max="12" width="9.6640625" bestFit="1" customWidth="1"/>
    <col min="13" max="13" width="10" bestFit="1" customWidth="1"/>
  </cols>
  <sheetData>
    <row r="1" spans="1:14" ht="28.8">
      <c r="A1" s="3" t="s">
        <v>16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>
      <c r="A2" s="10" t="s">
        <v>0</v>
      </c>
      <c r="B2" s="10" t="s">
        <v>11</v>
      </c>
      <c r="C2" s="10" t="s">
        <v>10</v>
      </c>
      <c r="D2" s="4" t="s">
        <v>7</v>
      </c>
      <c r="E2" s="4"/>
      <c r="F2" s="4"/>
      <c r="G2" s="4"/>
      <c r="H2" s="4"/>
      <c r="I2" s="4"/>
      <c r="J2" s="4"/>
      <c r="K2" s="4"/>
    </row>
    <row r="3" spans="1:14">
      <c r="A3" s="5">
        <v>0</v>
      </c>
      <c r="B3" s="6">
        <v>0</v>
      </c>
      <c r="C3" s="5">
        <v>0</v>
      </c>
      <c r="D3" s="11">
        <v>128</v>
      </c>
      <c r="E3" s="11">
        <v>64</v>
      </c>
      <c r="F3" s="11">
        <v>32</v>
      </c>
      <c r="G3" s="11">
        <v>16</v>
      </c>
      <c r="H3" s="11">
        <v>8</v>
      </c>
      <c r="I3" s="11">
        <v>4</v>
      </c>
      <c r="J3" s="11">
        <v>2</v>
      </c>
      <c r="K3" s="11">
        <v>1</v>
      </c>
    </row>
    <row r="4" spans="1:14">
      <c r="A4" s="7">
        <v>1</v>
      </c>
      <c r="B4" s="7">
        <v>1</v>
      </c>
      <c r="C4" s="8">
        <v>1</v>
      </c>
      <c r="D4" s="11">
        <f>shr(VLOOKUP($E$7,$A$3:$C$18,2),3)</f>
        <v>1</v>
      </c>
      <c r="E4" s="11">
        <f>shr(BITWISE_AND((VLOOKUP($E$7,$A$3:$C$18,2)),4),2)</f>
        <v>1</v>
      </c>
      <c r="F4" s="11">
        <f>shr(BITWISE_AND((VLOOKUP($E$7,$A$3:$C$18,2)),2),1)</f>
        <v>1</v>
      </c>
      <c r="G4" s="11">
        <f>BITWISE_AND((VLOOKUP($E$7,$A$3:$C$18,2)),1)</f>
        <v>0</v>
      </c>
      <c r="H4" s="11">
        <f>shr(VLOOKUP($F$7,$A$3:$C$18,2),3)</f>
        <v>0</v>
      </c>
      <c r="I4" s="11">
        <f>shr(BITWISE_AND((VLOOKUP($F$7,$A$3:$C$18,2)),4),2)</f>
        <v>1</v>
      </c>
      <c r="J4" s="11">
        <f>shr(BITWISE_AND((VLOOKUP($F$7,$A$3:$C$18,2)),2),1)</f>
        <v>1</v>
      </c>
      <c r="K4" s="11">
        <f>BITWISE_AND((VLOOKUP($F$7,$A$3:$C$18,2)),1)</f>
        <v>0</v>
      </c>
    </row>
    <row r="5" spans="1:14">
      <c r="A5" s="7">
        <v>2</v>
      </c>
      <c r="B5" s="7">
        <v>2</v>
      </c>
      <c r="C5" s="7">
        <v>10</v>
      </c>
    </row>
    <row r="6" spans="1:14">
      <c r="A6" s="7">
        <v>3</v>
      </c>
      <c r="B6" s="7">
        <v>3</v>
      </c>
      <c r="C6" s="7">
        <v>11</v>
      </c>
      <c r="E6" s="11" t="s">
        <v>13</v>
      </c>
      <c r="F6" s="11" t="s">
        <v>14</v>
      </c>
    </row>
    <row r="7" spans="1:14" ht="15" thickBot="1">
      <c r="A7" s="7">
        <v>4</v>
      </c>
      <c r="B7" s="7">
        <v>4</v>
      </c>
      <c r="C7" s="7">
        <v>100</v>
      </c>
      <c r="E7" s="12" t="s">
        <v>5</v>
      </c>
      <c r="F7" s="13">
        <v>6</v>
      </c>
      <c r="G7" t="s">
        <v>15</v>
      </c>
      <c r="M7">
        <v>0</v>
      </c>
    </row>
    <row r="8" spans="1:14" ht="15" thickBot="1">
      <c r="A8" s="7">
        <v>5</v>
      </c>
      <c r="B8" s="7">
        <v>5</v>
      </c>
      <c r="C8" s="7">
        <v>101</v>
      </c>
      <c r="E8" t="s">
        <v>12</v>
      </c>
      <c r="F8" s="1"/>
      <c r="G8" s="2">
        <f>SUMIF(D4:K4,1,D3:K3)</f>
        <v>230</v>
      </c>
    </row>
    <row r="9" spans="1:14">
      <c r="A9" s="7">
        <v>6</v>
      </c>
      <c r="B9" s="7">
        <v>6</v>
      </c>
      <c r="C9" s="7">
        <v>110</v>
      </c>
    </row>
    <row r="10" spans="1:14">
      <c r="A10" s="7">
        <v>7</v>
      </c>
      <c r="B10" s="7">
        <v>7</v>
      </c>
      <c r="C10" s="7">
        <v>111</v>
      </c>
      <c r="E10" s="10" t="s">
        <v>8</v>
      </c>
      <c r="F10" s="10" t="s">
        <v>9</v>
      </c>
      <c r="G10" s="10" t="s">
        <v>17</v>
      </c>
      <c r="H10" s="1"/>
    </row>
    <row r="11" spans="1:14">
      <c r="A11" s="7">
        <v>8</v>
      </c>
      <c r="B11" s="7">
        <v>8</v>
      </c>
      <c r="C11" s="7">
        <v>1000</v>
      </c>
      <c r="E11" s="11">
        <v>10000000</v>
      </c>
      <c r="F11" s="11">
        <v>128</v>
      </c>
      <c r="G11" s="11" t="str">
        <f>DEC2HEX(F11)</f>
        <v>80</v>
      </c>
      <c r="H11" s="1"/>
      <c r="I11" s="14" t="s">
        <v>11</v>
      </c>
      <c r="K11" s="15" t="s">
        <v>0</v>
      </c>
    </row>
    <row r="12" spans="1:14">
      <c r="A12" s="7">
        <v>9</v>
      </c>
      <c r="B12" s="7">
        <v>9</v>
      </c>
      <c r="C12" s="7">
        <v>1001</v>
      </c>
      <c r="E12" s="11">
        <v>11000000</v>
      </c>
      <c r="F12" s="11">
        <v>192</v>
      </c>
      <c r="G12" s="11" t="str">
        <f t="shared" ref="G12:G18" si="0">DEC2HEX(F12)</f>
        <v>C0</v>
      </c>
      <c r="H12" s="1"/>
      <c r="I12" s="17">
        <v>1024</v>
      </c>
      <c r="J12" s="16" t="s">
        <v>18</v>
      </c>
      <c r="K12" s="11" t="str">
        <f>DEC2HEX(I12)</f>
        <v>400</v>
      </c>
    </row>
    <row r="13" spans="1:14">
      <c r="A13" s="7" t="s">
        <v>1</v>
      </c>
      <c r="B13" s="7">
        <v>10</v>
      </c>
      <c r="C13" s="7">
        <v>1010</v>
      </c>
      <c r="E13" s="11">
        <v>11100000</v>
      </c>
      <c r="F13" s="11">
        <v>224</v>
      </c>
      <c r="G13" s="11" t="str">
        <f t="shared" si="0"/>
        <v>E0</v>
      </c>
      <c r="H13" s="1"/>
    </row>
    <row r="14" spans="1:14">
      <c r="A14" s="7" t="s">
        <v>2</v>
      </c>
      <c r="B14" s="7">
        <v>11</v>
      </c>
      <c r="C14" s="7">
        <v>1011</v>
      </c>
      <c r="E14" s="11">
        <v>11110000</v>
      </c>
      <c r="F14" s="11">
        <v>240</v>
      </c>
      <c r="G14" s="11" t="str">
        <f t="shared" si="0"/>
        <v>F0</v>
      </c>
      <c r="H14" s="1"/>
    </row>
    <row r="15" spans="1:14">
      <c r="A15" s="7" t="s">
        <v>3</v>
      </c>
      <c r="B15" s="7">
        <v>12</v>
      </c>
      <c r="C15" s="7">
        <v>1100</v>
      </c>
      <c r="E15" s="11">
        <v>11111000</v>
      </c>
      <c r="F15" s="11">
        <v>248</v>
      </c>
      <c r="G15" s="11" t="str">
        <f t="shared" si="0"/>
        <v>F8</v>
      </c>
      <c r="H15" s="1"/>
    </row>
    <row r="16" spans="1:14">
      <c r="A16" s="7" t="s">
        <v>4</v>
      </c>
      <c r="B16" s="7">
        <v>13</v>
      </c>
      <c r="C16" s="7">
        <v>1101</v>
      </c>
      <c r="E16" s="11">
        <v>11111100</v>
      </c>
      <c r="F16" s="11">
        <v>252</v>
      </c>
      <c r="G16" s="11" t="str">
        <f t="shared" si="0"/>
        <v>FC</v>
      </c>
      <c r="H16" s="1"/>
    </row>
    <row r="17" spans="1:7">
      <c r="A17" s="7" t="s">
        <v>5</v>
      </c>
      <c r="B17" s="7">
        <v>14</v>
      </c>
      <c r="C17" s="7">
        <v>1110</v>
      </c>
      <c r="E17" s="11">
        <v>11111110</v>
      </c>
      <c r="F17" s="11">
        <v>254</v>
      </c>
      <c r="G17" s="11" t="str">
        <f t="shared" si="0"/>
        <v>FE</v>
      </c>
    </row>
    <row r="18" spans="1:7">
      <c r="A18" s="9" t="s">
        <v>6</v>
      </c>
      <c r="B18" s="9">
        <v>15</v>
      </c>
      <c r="C18" s="9">
        <v>1111</v>
      </c>
      <c r="E18" s="11">
        <v>11111111</v>
      </c>
      <c r="F18" s="11">
        <v>255</v>
      </c>
      <c r="G18" s="11" t="str">
        <f t="shared" si="0"/>
        <v>FF</v>
      </c>
    </row>
  </sheetData>
  <mergeCells count="2">
    <mergeCell ref="A1:N1"/>
    <mergeCell ref="D2:K2"/>
  </mergeCells>
  <dataValidations count="2">
    <dataValidation type="list" allowBlank="1" showInputMessage="1" showErrorMessage="1" errorTitle="Invalid Input: MSD" error="Please enter one Hexadecimal Digit" promptTitle="Most Significant Hex Digit" prompt="Please enter one Hexadecimal Digit (0 - F). Case does not matter." sqref="E7">
      <formula1>$A$3:$A$18</formula1>
    </dataValidation>
    <dataValidation type="list" allowBlank="1" showInputMessage="1" showErrorMessage="1" errorTitle="Invalid Input: LSD" error="Please enter one Hexidecimal Digit (0 - F)" promptTitle="Least Significant Hex Digit" prompt="Please enter one Hexidecimal Digit (0 - F). Case does not matter." sqref="F7">
      <formula1>$A$3:$A$18</formula1>
    </dataValidation>
  </dataValidations>
  <pageMargins left="0.7" right="0.7" top="0.75" bottom="0.75" header="0.3" footer="0.3"/>
  <pageSetup orientation="portrait" horizontalDpi="4294967293" verticalDpi="429496729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8 Bit Conversions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Lazaro J Diaz</dc:creator>
  <cp:lastModifiedBy>Papabear</cp:lastModifiedBy>
  <dcterms:created xsi:type="dcterms:W3CDTF">2014-07-10T08:47:34Z</dcterms:created>
  <dcterms:modified xsi:type="dcterms:W3CDTF">2016-03-29T22:01:13Z</dcterms:modified>
</cp:coreProperties>
</file>