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72" windowWidth="20940" windowHeight="8580"/>
  </bookViews>
  <sheets>
    <sheet name="8 Bit Conversions" sheetId="1" r:id="rId1"/>
    <sheet name="IPV4" sheetId="2" r:id="rId2"/>
    <sheet name="IPV6" sheetId="3" r:id="rId3"/>
  </sheets>
  <functionGroups/>
  <calcPr calcId="125725"/>
</workbook>
</file>

<file path=xl/calcChain.xml><?xml version="1.0" encoding="utf-8"?>
<calcChain xmlns="http://schemas.openxmlformats.org/spreadsheetml/2006/main">
  <c r="K12" i="1"/>
  <c r="G18"/>
  <c r="G17"/>
  <c r="G16"/>
  <c r="G15"/>
  <c r="G14"/>
  <c r="G13"/>
  <c r="G12"/>
  <c r="G11"/>
  <c r="D4"/>
  <c r="G4"/>
  <c r="J4"/>
  <c r="H4"/>
  <c r="E4"/>
  <c r="I4"/>
  <c r="F4"/>
  <c r="K4"/>
  <c r="G8" l="1"/>
</calcChain>
</file>

<file path=xl/comments1.xml><?xml version="1.0" encoding="utf-8"?>
<comments xmlns="http://schemas.openxmlformats.org/spreadsheetml/2006/main">
  <authors>
    <author>Papabear</author>
  </authors>
  <commentList>
    <comment ref="E6" authorId="0">
      <text>
        <r>
          <rPr>
            <sz val="9"/>
            <color indexed="81"/>
            <rFont val="Tahoma"/>
            <family val="2"/>
          </rPr>
          <t>Most Significant Digit</t>
        </r>
      </text>
    </comment>
    <comment ref="F6" authorId="0">
      <text>
        <r>
          <rPr>
            <sz val="9"/>
            <color indexed="81"/>
            <rFont val="Tahoma"/>
            <family val="2"/>
          </rPr>
          <t>Least Significant Digit</t>
        </r>
      </text>
    </comment>
    <comment ref="I12" authorId="0">
      <text>
        <r>
          <rPr>
            <b/>
            <sz val="9"/>
            <color indexed="81"/>
            <rFont val="Tahoma"/>
            <family val="2"/>
          </rPr>
          <t>Insert a Decimal to convert to Hexadecimal</t>
        </r>
      </text>
    </comment>
  </commentList>
</comments>
</file>

<file path=xl/sharedStrings.xml><?xml version="1.0" encoding="utf-8"?>
<sst xmlns="http://schemas.openxmlformats.org/spreadsheetml/2006/main" count="106" uniqueCount="91">
  <si>
    <t>Hex</t>
  </si>
  <si>
    <t>A</t>
  </si>
  <si>
    <t>B</t>
  </si>
  <si>
    <t>C</t>
  </si>
  <si>
    <t>D</t>
  </si>
  <si>
    <t>E</t>
  </si>
  <si>
    <t>F</t>
  </si>
  <si>
    <t>BIT VALUES</t>
  </si>
  <si>
    <t>BIT</t>
  </si>
  <si>
    <t>DECIMAL</t>
  </si>
  <si>
    <t>Binary</t>
  </si>
  <si>
    <t>Decimal</t>
  </si>
  <si>
    <t>Decimal Equivalent --&gt;</t>
  </si>
  <si>
    <t>MSD</t>
  </si>
  <si>
    <t>LSD</t>
  </si>
  <si>
    <t>&lt;-- Input Hex Value Here</t>
  </si>
  <si>
    <t>Table for converting Hexadecimal to Binary</t>
  </si>
  <si>
    <t>HEX</t>
  </si>
  <si>
    <t>=</t>
  </si>
  <si>
    <t>Class</t>
  </si>
  <si>
    <t>Range</t>
  </si>
  <si>
    <t>1 - 126</t>
  </si>
  <si>
    <t>128 - 191</t>
  </si>
  <si>
    <t>192 - 223</t>
  </si>
  <si>
    <t>224 - 239</t>
  </si>
  <si>
    <t>240 - 255</t>
  </si>
  <si>
    <t>DEFAULT MASK</t>
  </si>
  <si>
    <t>255.0.0.0</t>
  </si>
  <si>
    <t>255.255.0.0</t>
  </si>
  <si>
    <t>255.255.255.0</t>
  </si>
  <si>
    <t>N/A</t>
  </si>
  <si>
    <t>Multicast</t>
  </si>
  <si>
    <t>Research</t>
  </si>
  <si>
    <t>RIP</t>
  </si>
  <si>
    <t>224.0.0.9</t>
  </si>
  <si>
    <t>EIGRP</t>
  </si>
  <si>
    <t>224.0.0.10</t>
  </si>
  <si>
    <t>OSPF</t>
  </si>
  <si>
    <t>224.0.0.5, 224.0.0.6</t>
  </si>
  <si>
    <t>DEFAULT HOST</t>
  </si>
  <si>
    <t>PRIVATE IP RANGES</t>
  </si>
  <si>
    <t>-</t>
  </si>
  <si>
    <t>10.255.255.255</t>
  </si>
  <si>
    <t>172.16.0.0</t>
  </si>
  <si>
    <t>172.32.255.255</t>
  </si>
  <si>
    <t>(24 BIT BLOCK)</t>
  </si>
  <si>
    <t>(20 BIT BLOCK)</t>
  </si>
  <si>
    <t>192.168.0.0</t>
  </si>
  <si>
    <t>162.168.255.255</t>
  </si>
  <si>
    <t>10.0.0.0</t>
  </si>
  <si>
    <t>(16 BIT BLOCK)</t>
  </si>
  <si>
    <t>CIDR</t>
  </si>
  <si>
    <t>/8</t>
  </si>
  <si>
    <t>/16</t>
  </si>
  <si>
    <t>/24</t>
  </si>
  <si>
    <t>Reserved IP addresses</t>
  </si>
  <si>
    <t>0.0.0.0</t>
  </si>
  <si>
    <t>127.0.0.1</t>
  </si>
  <si>
    <t>169.254.x.x</t>
  </si>
  <si>
    <t>default route</t>
  </si>
  <si>
    <t>loopback address</t>
  </si>
  <si>
    <t>APIPA</t>
  </si>
  <si>
    <t>aka link-local address</t>
  </si>
  <si>
    <t>NAT</t>
  </si>
  <si>
    <t>x.x.x.0</t>
  </si>
  <si>
    <t>Network ID</t>
  </si>
  <si>
    <t>x.x.x.255</t>
  </si>
  <si>
    <t>Broadcast ID</t>
  </si>
  <si>
    <t>IPV6 Wiki</t>
  </si>
  <si>
    <t>2016:6AEF:1400:1234:AABB:1500:12AB:0001/64</t>
  </si>
  <si>
    <t>Multicast addresses</t>
  </si>
  <si>
    <t>FF00::/8</t>
  </si>
  <si>
    <t>Unicast addresses</t>
  </si>
  <si>
    <t>FC00::/7</t>
  </si>
  <si>
    <t>ANYCAST addresses</t>
  </si>
  <si>
    <t>FC00::</t>
  </si>
  <si>
    <t>LINK LOCAL</t>
  </si>
  <si>
    <t>FE80::/10</t>
  </si>
  <si>
    <t>DEFAULT ADDRESS</t>
  </si>
  <si>
    <t>::</t>
  </si>
  <si>
    <t>LOOPBACK ADDRESS</t>
  </si>
  <si>
    <t>::1</t>
  </si>
  <si>
    <t>RIPNG</t>
  </si>
  <si>
    <t>:FF02::9</t>
  </si>
  <si>
    <t>:FF02::A</t>
  </si>
  <si>
    <t>OSPFv3</t>
  </si>
  <si>
    <t>:FF02::5</t>
  </si>
  <si>
    <t>:FF02::6</t>
  </si>
  <si>
    <t>Ips are arranged as eight 4 digit hex numbers. First 4 are network and last 4 are called interface address</t>
  </si>
  <si>
    <t>https://commons.wikimedia.org/wiki/File:Ipv6_address_leading_zeros.svg#/media/File:Ipv6_address_leading_zeros.svg</t>
  </si>
  <si>
    <t>IANA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</si>
</sst>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6" fillId="0" borderId="0" xfId="1" applyAlignment="1" applyProtection="1">
      <alignment horizontal="center" vertical="center"/>
    </xf>
    <xf numFmtId="0" fontId="6" fillId="0" borderId="0" xfId="1" applyAlignment="1" applyProtection="1">
      <alignment horizontal="center" vertical="center"/>
    </xf>
    <xf numFmtId="0" fontId="6" fillId="0" borderId="0" xfId="1" applyAlignment="1" applyProtection="1"/>
    <xf numFmtId="3" fontId="0" fillId="2" borderId="1" xfId="0" applyNumberFormat="1" applyFill="1" applyBorder="1" applyAlignment="1" applyProtection="1">
      <alignment horizontal="center" vertical="center"/>
      <protection locked="0"/>
    </xf>
    <xf numFmtId="0" fontId="0" fillId="2" borderId="1" xfId="0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iki/Reserved_IP_addresses" TargetMode="External"/><Relationship Id="rId2" Type="http://schemas.openxmlformats.org/officeDocument/2006/relationships/hyperlink" Target="https://en.wikipedia.org/wiki/Link-local_address" TargetMode="External"/><Relationship Id="rId1" Type="http://schemas.openxmlformats.org/officeDocument/2006/relationships/hyperlink" Target="https://en.wikipedia.org/wiki/Private_network" TargetMode="External"/><Relationship Id="rId5" Type="http://schemas.openxmlformats.org/officeDocument/2006/relationships/hyperlink" Target="http://www.iana.org/" TargetMode="External"/><Relationship Id="rId4" Type="http://schemas.openxmlformats.org/officeDocument/2006/relationships/hyperlink" Target="https://en.wikipedia.org/wiki/Network_address_translation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commons.wikimedia.org/wiki/File:Ipv6_address_leading_zeros.svg" TargetMode="External"/><Relationship Id="rId1" Type="http://schemas.openxmlformats.org/officeDocument/2006/relationships/hyperlink" Target="https://en.wikipedia.org/wiki/IPv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8"/>
  <sheetViews>
    <sheetView showGridLines="0" tabSelected="1" zoomScale="170" zoomScaleNormal="170" workbookViewId="0">
      <selection activeCell="I13" sqref="I13"/>
    </sheetView>
  </sheetViews>
  <sheetFormatPr defaultRowHeight="14.4"/>
  <cols>
    <col min="2" max="2" width="11.6640625" customWidth="1"/>
    <col min="3" max="3" width="10.88671875" bestFit="1" customWidth="1"/>
    <col min="5" max="5" width="12" customWidth="1"/>
    <col min="12" max="12" width="9.6640625" bestFit="1" customWidth="1"/>
    <col min="13" max="13" width="10" bestFit="1" customWidth="1"/>
  </cols>
  <sheetData>
    <row r="1" spans="1:14" ht="28.8">
      <c r="A1" s="13" t="s">
        <v>16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>
      <c r="A2" s="8" t="s">
        <v>0</v>
      </c>
      <c r="B2" s="8" t="s">
        <v>11</v>
      </c>
      <c r="C2" s="8" t="s">
        <v>10</v>
      </c>
      <c r="D2" s="14" t="s">
        <v>7</v>
      </c>
      <c r="E2" s="14"/>
      <c r="F2" s="14"/>
      <c r="G2" s="14"/>
      <c r="H2" s="14"/>
      <c r="I2" s="14"/>
      <c r="J2" s="14"/>
      <c r="K2" s="14"/>
    </row>
    <row r="3" spans="1:14">
      <c r="A3" s="3">
        <v>0</v>
      </c>
      <c r="B3" s="4">
        <v>0</v>
      </c>
      <c r="C3" s="3">
        <v>0</v>
      </c>
      <c r="D3" s="9">
        <v>128</v>
      </c>
      <c r="E3" s="9">
        <v>64</v>
      </c>
      <c r="F3" s="9">
        <v>32</v>
      </c>
      <c r="G3" s="9">
        <v>16</v>
      </c>
      <c r="H3" s="9">
        <v>8</v>
      </c>
      <c r="I3" s="9">
        <v>4</v>
      </c>
      <c r="J3" s="9">
        <v>2</v>
      </c>
      <c r="K3" s="9">
        <v>1</v>
      </c>
    </row>
    <row r="4" spans="1:14">
      <c r="A4" s="5">
        <v>1</v>
      </c>
      <c r="B4" s="5">
        <v>1</v>
      </c>
      <c r="C4" s="6">
        <v>1</v>
      </c>
      <c r="D4" s="9">
        <f>shr(VLOOKUP($E$7,$A$3:$C$18,2),3)</f>
        <v>1</v>
      </c>
      <c r="E4" s="9">
        <f>shr(BITWISE_AND((VLOOKUP($E$7,$A$3:$C$18,2)),4),2)</f>
        <v>1</v>
      </c>
      <c r="F4" s="9">
        <f>shr(BITWISE_AND((VLOOKUP($E$7,$A$3:$C$18,2)),2),1)</f>
        <v>0</v>
      </c>
      <c r="G4" s="9">
        <f>BITWISE_AND((VLOOKUP($E$7,$A$3:$C$18,2)),1)</f>
        <v>0</v>
      </c>
      <c r="H4" s="9">
        <f>shr(VLOOKUP($F$7,$A$3:$C$18,2),3)</f>
        <v>0</v>
      </c>
      <c r="I4" s="9">
        <f>shr(BITWISE_AND((VLOOKUP($F$7,$A$3:$C$18,2)),4),2)</f>
        <v>1</v>
      </c>
      <c r="J4" s="9">
        <f>shr(BITWISE_AND((VLOOKUP($F$7,$A$3:$C$18,2)),2),1)</f>
        <v>1</v>
      </c>
      <c r="K4" s="9">
        <f>BITWISE_AND((VLOOKUP($F$7,$A$3:$C$18,2)),1)</f>
        <v>0</v>
      </c>
    </row>
    <row r="5" spans="1:14">
      <c r="A5" s="5">
        <v>2</v>
      </c>
      <c r="B5" s="5">
        <v>2</v>
      </c>
      <c r="C5" s="5">
        <v>10</v>
      </c>
    </row>
    <row r="6" spans="1:14">
      <c r="A6" s="5">
        <v>3</v>
      </c>
      <c r="B6" s="5">
        <v>3</v>
      </c>
      <c r="C6" s="5">
        <v>11</v>
      </c>
      <c r="E6" s="9" t="s">
        <v>13</v>
      </c>
      <c r="F6" s="9" t="s">
        <v>14</v>
      </c>
    </row>
    <row r="7" spans="1:14" ht="15" thickBot="1">
      <c r="A7" s="5">
        <v>4</v>
      </c>
      <c r="B7" s="5">
        <v>4</v>
      </c>
      <c r="C7" s="5">
        <v>100</v>
      </c>
      <c r="E7" s="22" t="s">
        <v>3</v>
      </c>
      <c r="F7" s="23">
        <v>6</v>
      </c>
      <c r="G7" t="s">
        <v>15</v>
      </c>
      <c r="M7">
        <v>0</v>
      </c>
    </row>
    <row r="8" spans="1:14" ht="15" thickBot="1">
      <c r="A8" s="5">
        <v>5</v>
      </c>
      <c r="B8" s="5">
        <v>5</v>
      </c>
      <c r="C8" s="5">
        <v>101</v>
      </c>
      <c r="E8" t="s">
        <v>12</v>
      </c>
      <c r="F8" s="1"/>
      <c r="G8" s="2">
        <f>SUMIF(D4:K4,1,D3:K3)</f>
        <v>198</v>
      </c>
    </row>
    <row r="9" spans="1:14">
      <c r="A9" s="5">
        <v>6</v>
      </c>
      <c r="B9" s="5">
        <v>6</v>
      </c>
      <c r="C9" s="5">
        <v>110</v>
      </c>
    </row>
    <row r="10" spans="1:14">
      <c r="A10" s="5">
        <v>7</v>
      </c>
      <c r="B10" s="5">
        <v>7</v>
      </c>
      <c r="C10" s="5">
        <v>111</v>
      </c>
      <c r="E10" s="8" t="s">
        <v>8</v>
      </c>
      <c r="F10" s="8" t="s">
        <v>9</v>
      </c>
      <c r="G10" s="8" t="s">
        <v>17</v>
      </c>
      <c r="H10" s="1"/>
    </row>
    <row r="11" spans="1:14">
      <c r="A11" s="5">
        <v>8</v>
      </c>
      <c r="B11" s="5">
        <v>8</v>
      </c>
      <c r="C11" s="5">
        <v>1000</v>
      </c>
      <c r="E11" s="9">
        <v>10000000</v>
      </c>
      <c r="F11" s="9">
        <v>128</v>
      </c>
      <c r="G11" s="9" t="str">
        <f>DEC2HEX(F11)</f>
        <v>80</v>
      </c>
      <c r="H11" s="1"/>
      <c r="I11" s="10" t="s">
        <v>11</v>
      </c>
      <c r="K11" s="11" t="s">
        <v>0</v>
      </c>
    </row>
    <row r="12" spans="1:14">
      <c r="A12" s="5">
        <v>9</v>
      </c>
      <c r="B12" s="5">
        <v>9</v>
      </c>
      <c r="C12" s="5">
        <v>1001</v>
      </c>
      <c r="E12" s="9">
        <v>11000000</v>
      </c>
      <c r="F12" s="9">
        <v>192</v>
      </c>
      <c r="G12" s="9" t="str">
        <f t="shared" ref="G12:G18" si="0">DEC2HEX(F12)</f>
        <v>C0</v>
      </c>
      <c r="H12" s="1"/>
      <c r="I12" s="21">
        <v>255</v>
      </c>
      <c r="J12" s="12" t="s">
        <v>18</v>
      </c>
      <c r="K12" s="9" t="str">
        <f>DEC2HEX(I12)</f>
        <v>FF</v>
      </c>
    </row>
    <row r="13" spans="1:14">
      <c r="A13" s="5" t="s">
        <v>1</v>
      </c>
      <c r="B13" s="5">
        <v>10</v>
      </c>
      <c r="C13" s="5">
        <v>1010</v>
      </c>
      <c r="E13" s="9">
        <v>11100000</v>
      </c>
      <c r="F13" s="9">
        <v>224</v>
      </c>
      <c r="G13" s="9" t="str">
        <f t="shared" si="0"/>
        <v>E0</v>
      </c>
      <c r="H13" s="1"/>
    </row>
    <row r="14" spans="1:14">
      <c r="A14" s="5" t="s">
        <v>2</v>
      </c>
      <c r="B14" s="5">
        <v>11</v>
      </c>
      <c r="C14" s="5">
        <v>1011</v>
      </c>
      <c r="E14" s="9">
        <v>11110000</v>
      </c>
      <c r="F14" s="9">
        <v>240</v>
      </c>
      <c r="G14" s="9" t="str">
        <f t="shared" si="0"/>
        <v>F0</v>
      </c>
      <c r="H14" s="1"/>
    </row>
    <row r="15" spans="1:14">
      <c r="A15" s="5" t="s">
        <v>3</v>
      </c>
      <c r="B15" s="5">
        <v>12</v>
      </c>
      <c r="C15" s="5">
        <v>1100</v>
      </c>
      <c r="E15" s="9">
        <v>11111000</v>
      </c>
      <c r="F15" s="9">
        <v>248</v>
      </c>
      <c r="G15" s="9" t="str">
        <f t="shared" si="0"/>
        <v>F8</v>
      </c>
      <c r="H15" s="1"/>
    </row>
    <row r="16" spans="1:14">
      <c r="A16" s="5" t="s">
        <v>4</v>
      </c>
      <c r="B16" s="5">
        <v>13</v>
      </c>
      <c r="C16" s="5">
        <v>1101</v>
      </c>
      <c r="E16" s="9">
        <v>11111100</v>
      </c>
      <c r="F16" s="9">
        <v>252</v>
      </c>
      <c r="G16" s="9" t="str">
        <f t="shared" si="0"/>
        <v>FC</v>
      </c>
      <c r="H16" s="1"/>
    </row>
    <row r="17" spans="1:7">
      <c r="A17" s="5" t="s">
        <v>5</v>
      </c>
      <c r="B17" s="5">
        <v>14</v>
      </c>
      <c r="C17" s="5">
        <v>1110</v>
      </c>
      <c r="E17" s="9">
        <v>11111110</v>
      </c>
      <c r="F17" s="9">
        <v>254</v>
      </c>
      <c r="G17" s="9" t="str">
        <f t="shared" si="0"/>
        <v>FE</v>
      </c>
    </row>
    <row r="18" spans="1:7">
      <c r="A18" s="7" t="s">
        <v>6</v>
      </c>
      <c r="B18" s="7">
        <v>15</v>
      </c>
      <c r="C18" s="7">
        <v>1111</v>
      </c>
      <c r="E18" s="9">
        <v>11111111</v>
      </c>
      <c r="F18" s="9">
        <v>255</v>
      </c>
      <c r="G18" s="9" t="str">
        <f t="shared" si="0"/>
        <v>FF</v>
      </c>
    </row>
  </sheetData>
  <sheetProtection password="FE92" sheet="1" objects="1" scenarios="1"/>
  <mergeCells count="2">
    <mergeCell ref="A1:N1"/>
    <mergeCell ref="D2:K2"/>
  </mergeCells>
  <dataValidations count="2">
    <dataValidation type="list" allowBlank="1" showInputMessage="1" showErrorMessage="1" errorTitle="Invalid Input: MSD" error="Please enter one Hexadecimal Digit" promptTitle="Most Significant Hex Digit" prompt="Please enter one Hexadecimal Digit (0 - F). Case does not matter." sqref="E7">
      <formula1>$A$3:$A$18</formula1>
    </dataValidation>
    <dataValidation type="list" allowBlank="1" showInputMessage="1" showErrorMessage="1" errorTitle="Invalid Input: LSD" error="Please enter one Hexidecimal Digit (0 - F)" promptTitle="Least Significant Hex Digit" prompt="Please enter one Hexidecimal Digit (0 - F). Case does not matter." sqref="F7">
      <formula1>$A$3:$A$18</formula1>
    </dataValidation>
  </dataValidations>
  <pageMargins left="0.7" right="0.7" top="0.75" bottom="0.75" header="0.3" footer="0.3"/>
  <pageSetup orientation="portrait" horizontalDpi="4294967293" vertic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L19"/>
  <sheetViews>
    <sheetView workbookViewId="0">
      <selection activeCell="H2" sqref="H2"/>
    </sheetView>
  </sheetViews>
  <sheetFormatPr defaultRowHeight="14.4"/>
  <cols>
    <col min="1" max="1" width="13.88671875" style="15" customWidth="1"/>
    <col min="2" max="2" width="8.88671875" style="15"/>
    <col min="3" max="3" width="3.44140625" style="15" customWidth="1"/>
    <col min="4" max="4" width="26.88671875" style="15" customWidth="1"/>
    <col min="5" max="5" width="8.88671875" style="15"/>
    <col min="6" max="6" width="21.44140625" style="15" customWidth="1"/>
    <col min="7" max="16384" width="8.88671875" style="15"/>
  </cols>
  <sheetData>
    <row r="1" spans="1:12">
      <c r="A1" s="15" t="s">
        <v>19</v>
      </c>
      <c r="B1" s="15" t="s">
        <v>20</v>
      </c>
      <c r="D1" s="15" t="s">
        <v>26</v>
      </c>
      <c r="E1" s="15" t="s">
        <v>51</v>
      </c>
      <c r="F1" s="15" t="s">
        <v>39</v>
      </c>
    </row>
    <row r="2" spans="1:12">
      <c r="A2" s="15" t="s">
        <v>1</v>
      </c>
      <c r="B2" s="15" t="s">
        <v>21</v>
      </c>
      <c r="D2" s="15" t="s">
        <v>27</v>
      </c>
      <c r="E2" s="12" t="s">
        <v>52</v>
      </c>
      <c r="F2" s="17">
        <v>16777214</v>
      </c>
      <c r="H2" s="19" t="s">
        <v>90</v>
      </c>
    </row>
    <row r="3" spans="1:12">
      <c r="F3" s="16"/>
    </row>
    <row r="4" spans="1:12">
      <c r="A4" s="15" t="s">
        <v>2</v>
      </c>
      <c r="B4" s="15" t="s">
        <v>22</v>
      </c>
      <c r="D4" s="15" t="s">
        <v>28</v>
      </c>
      <c r="E4" s="12" t="s">
        <v>53</v>
      </c>
      <c r="F4" s="17">
        <v>65536</v>
      </c>
    </row>
    <row r="6" spans="1:12">
      <c r="A6" s="15" t="s">
        <v>3</v>
      </c>
      <c r="B6" s="15" t="s">
        <v>23</v>
      </c>
      <c r="D6" s="15" t="s">
        <v>29</v>
      </c>
      <c r="E6" s="12" t="s">
        <v>54</v>
      </c>
      <c r="F6" s="15">
        <v>255</v>
      </c>
    </row>
    <row r="8" spans="1:12">
      <c r="A8" s="15" t="s">
        <v>4</v>
      </c>
      <c r="B8" s="15" t="s">
        <v>24</v>
      </c>
      <c r="D8" s="15" t="s">
        <v>30</v>
      </c>
      <c r="E8" s="15" t="s">
        <v>31</v>
      </c>
      <c r="F8" s="15" t="s">
        <v>33</v>
      </c>
      <c r="G8" s="15" t="s">
        <v>34</v>
      </c>
      <c r="H8" s="15" t="s">
        <v>35</v>
      </c>
      <c r="I8" s="15" t="s">
        <v>36</v>
      </c>
      <c r="J8" s="15" t="s">
        <v>37</v>
      </c>
      <c r="K8" s="16" t="s">
        <v>38</v>
      </c>
    </row>
    <row r="10" spans="1:12">
      <c r="A10" s="15" t="s">
        <v>5</v>
      </c>
      <c r="B10" s="15" t="s">
        <v>25</v>
      </c>
      <c r="D10" s="15" t="s">
        <v>30</v>
      </c>
      <c r="E10" s="15" t="s">
        <v>32</v>
      </c>
    </row>
    <row r="12" spans="1:12">
      <c r="D12" s="18" t="s">
        <v>40</v>
      </c>
      <c r="E12" s="18"/>
      <c r="F12" s="18"/>
      <c r="J12" s="19" t="s">
        <v>55</v>
      </c>
    </row>
    <row r="13" spans="1:12">
      <c r="A13" s="15" t="s">
        <v>1</v>
      </c>
      <c r="D13" s="15" t="s">
        <v>49</v>
      </c>
      <c r="E13" s="12" t="s">
        <v>41</v>
      </c>
      <c r="F13" s="15" t="s">
        <v>42</v>
      </c>
      <c r="G13" s="16" t="s">
        <v>45</v>
      </c>
      <c r="I13" s="15" t="s">
        <v>56</v>
      </c>
      <c r="K13" s="15" t="s">
        <v>59</v>
      </c>
    </row>
    <row r="14" spans="1:12">
      <c r="G14" s="16"/>
      <c r="I14" s="15" t="s">
        <v>57</v>
      </c>
      <c r="K14" s="15" t="s">
        <v>60</v>
      </c>
    </row>
    <row r="15" spans="1:12">
      <c r="A15" s="15" t="s">
        <v>2</v>
      </c>
      <c r="D15" s="15" t="s">
        <v>43</v>
      </c>
      <c r="E15" s="12" t="s">
        <v>41</v>
      </c>
      <c r="F15" s="15" t="s">
        <v>44</v>
      </c>
      <c r="G15" s="16" t="s">
        <v>46</v>
      </c>
      <c r="I15" s="15" t="s">
        <v>58</v>
      </c>
      <c r="K15" s="19" t="s">
        <v>61</v>
      </c>
      <c r="L15" s="16" t="s">
        <v>62</v>
      </c>
    </row>
    <row r="16" spans="1:12">
      <c r="G16" s="16"/>
      <c r="I16" s="15" t="s">
        <v>64</v>
      </c>
      <c r="J16" s="16" t="s">
        <v>65</v>
      </c>
    </row>
    <row r="17" spans="1:10">
      <c r="A17" s="15" t="s">
        <v>3</v>
      </c>
      <c r="D17" s="15" t="s">
        <v>47</v>
      </c>
      <c r="E17" s="12" t="s">
        <v>41</v>
      </c>
      <c r="F17" s="15" t="s">
        <v>48</v>
      </c>
      <c r="G17" s="16" t="s">
        <v>50</v>
      </c>
      <c r="I17" s="15" t="s">
        <v>66</v>
      </c>
      <c r="J17" s="16" t="s">
        <v>67</v>
      </c>
    </row>
    <row r="18" spans="1:10">
      <c r="J18" s="16"/>
    </row>
    <row r="19" spans="1:10">
      <c r="D19" s="19" t="s">
        <v>63</v>
      </c>
    </row>
  </sheetData>
  <mergeCells count="1">
    <mergeCell ref="D12:F12"/>
  </mergeCells>
  <hyperlinks>
    <hyperlink ref="D12:F12" r:id="rId1" display="PRIVATE IP RANGES"/>
    <hyperlink ref="K15" r:id="rId2" location="IPv4"/>
    <hyperlink ref="J12" r:id="rId3"/>
    <hyperlink ref="D19" r:id="rId4"/>
    <hyperlink ref="H2" r:id="rId5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L29"/>
  <sheetViews>
    <sheetView zoomScale="130" zoomScaleNormal="130" workbookViewId="0">
      <selection activeCell="L4" sqref="L4"/>
    </sheetView>
  </sheetViews>
  <sheetFormatPr defaultRowHeight="14.4"/>
  <cols>
    <col min="1" max="1" width="13.21875" customWidth="1"/>
  </cols>
  <sheetData>
    <row r="1" spans="1:12">
      <c r="A1" s="20" t="s">
        <v>68</v>
      </c>
    </row>
    <row r="3" spans="1:12">
      <c r="A3" t="s">
        <v>88</v>
      </c>
    </row>
    <row r="4" spans="1:12">
      <c r="A4" t="s">
        <v>69</v>
      </c>
      <c r="L4" s="20" t="s">
        <v>89</v>
      </c>
    </row>
    <row r="5" spans="1:12">
      <c r="A5" t="s">
        <v>70</v>
      </c>
    </row>
    <row r="6" spans="1:12">
      <c r="A6" t="s">
        <v>71</v>
      </c>
    </row>
    <row r="8" spans="1:12">
      <c r="A8" t="s">
        <v>72</v>
      </c>
    </row>
    <row r="9" spans="1:12">
      <c r="A9" t="s">
        <v>73</v>
      </c>
    </row>
    <row r="11" spans="1:12">
      <c r="A11" t="s">
        <v>74</v>
      </c>
    </row>
    <row r="12" spans="1:12">
      <c r="A12" t="s">
        <v>75</v>
      </c>
    </row>
    <row r="14" spans="1:12">
      <c r="A14" t="s">
        <v>76</v>
      </c>
    </row>
    <row r="15" spans="1:12">
      <c r="A15" t="s">
        <v>77</v>
      </c>
    </row>
    <row r="17" spans="1:1">
      <c r="A17" t="s">
        <v>78</v>
      </c>
    </row>
    <row r="18" spans="1:1">
      <c r="A18" t="s">
        <v>79</v>
      </c>
    </row>
    <row r="20" spans="1:1">
      <c r="A20" t="s">
        <v>80</v>
      </c>
    </row>
    <row r="21" spans="1:1">
      <c r="A21" t="s">
        <v>81</v>
      </c>
    </row>
    <row r="23" spans="1:1">
      <c r="A23" t="s">
        <v>82</v>
      </c>
    </row>
    <row r="24" spans="1:1">
      <c r="A24" t="s">
        <v>83</v>
      </c>
    </row>
    <row r="25" spans="1:1">
      <c r="A25" t="s">
        <v>35</v>
      </c>
    </row>
    <row r="26" spans="1:1">
      <c r="A26" t="s">
        <v>84</v>
      </c>
    </row>
    <row r="27" spans="1:1">
      <c r="A27" t="s">
        <v>85</v>
      </c>
    </row>
    <row r="28" spans="1:1">
      <c r="A28" t="s">
        <v>86</v>
      </c>
    </row>
    <row r="29" spans="1:1">
      <c r="A29" t="s">
        <v>87</v>
      </c>
    </row>
  </sheetData>
  <hyperlinks>
    <hyperlink ref="A1" r:id="rId1"/>
    <hyperlink ref="L4" r:id="rId2" location="/media/File:Ipv6_address_leading_zeros.svg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8 Bit Conversions</vt:lpstr>
      <vt:lpstr>IPV4</vt:lpstr>
      <vt:lpstr>IPV6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Lazaro J Diaz</dc:creator>
  <cp:lastModifiedBy>Papabear</cp:lastModifiedBy>
  <dcterms:created xsi:type="dcterms:W3CDTF">2014-07-10T08:47:34Z</dcterms:created>
  <dcterms:modified xsi:type="dcterms:W3CDTF">2016-03-30T04:35:40Z</dcterms:modified>
</cp:coreProperties>
</file>